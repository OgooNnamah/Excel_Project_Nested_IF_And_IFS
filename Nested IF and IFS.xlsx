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e730c74b46a0f4/Desktop/Data Analytic/Assignment/"/>
    </mc:Choice>
  </mc:AlternateContent>
  <xr:revisionPtr revIDLastSave="3" documentId="8_{BEB43194-6AD9-4634-B301-10EA9DE1157F}" xr6:coauthVersionLast="47" xr6:coauthVersionMax="47" xr10:uidLastSave="{F91916A6-7766-4188-AEA9-75EA6B77DEE4}"/>
  <bookViews>
    <workbookView xWindow="-108" yWindow="-108" windowWidth="23256" windowHeight="13176" xr2:uid="{6788DA5E-1337-4DE9-A0EC-729CF7008D41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1" l="1" a="1"/>
  <c r="G21" i="1" s="1"/>
  <c r="F21" i="1"/>
  <c r="E21" i="1"/>
  <c r="D21" i="1"/>
  <c r="G20" i="1" a="1"/>
  <c r="G20" i="1" s="1"/>
  <c r="F20" i="1"/>
  <c r="E20" i="1"/>
  <c r="D20" i="1"/>
  <c r="G19" i="1" a="1"/>
  <c r="G19" i="1" s="1"/>
  <c r="F19" i="1"/>
  <c r="E19" i="1"/>
  <c r="D19" i="1"/>
  <c r="G18" i="1" a="1"/>
  <c r="G18" i="1" s="1"/>
  <c r="F18" i="1"/>
  <c r="E18" i="1"/>
  <c r="D18" i="1"/>
  <c r="G17" i="1" a="1"/>
  <c r="G17" i="1" s="1"/>
  <c r="F17" i="1"/>
  <c r="E17" i="1"/>
  <c r="D17" i="1"/>
  <c r="G16" i="1" a="1"/>
  <c r="G16" i="1" s="1"/>
  <c r="F16" i="1"/>
  <c r="E16" i="1"/>
  <c r="D16" i="1"/>
  <c r="G15" i="1" a="1"/>
  <c r="G15" i="1" s="1"/>
  <c r="F15" i="1"/>
  <c r="E15" i="1"/>
  <c r="D15" i="1"/>
  <c r="G14" i="1" a="1"/>
  <c r="G14" i="1" s="1"/>
  <c r="F14" i="1"/>
  <c r="E14" i="1"/>
  <c r="D14" i="1"/>
  <c r="G13" i="1" a="1"/>
  <c r="G13" i="1" s="1"/>
  <c r="F13" i="1"/>
  <c r="E13" i="1"/>
  <c r="D13" i="1"/>
  <c r="G12" i="1" a="1"/>
  <c r="G12" i="1" s="1"/>
  <c r="F12" i="1"/>
  <c r="E12" i="1"/>
  <c r="D12" i="1"/>
  <c r="G11" i="1" a="1"/>
  <c r="G11" i="1" s="1"/>
  <c r="F11" i="1"/>
  <c r="E11" i="1"/>
  <c r="D11" i="1"/>
  <c r="G10" i="1" a="1"/>
  <c r="G10" i="1" s="1"/>
  <c r="F10" i="1"/>
  <c r="E10" i="1"/>
  <c r="D10" i="1"/>
  <c r="G9" i="1" a="1"/>
  <c r="G9" i="1" s="1"/>
  <c r="F9" i="1"/>
  <c r="E9" i="1"/>
  <c r="D9" i="1"/>
  <c r="G8" i="1" a="1"/>
  <c r="G8" i="1" s="1"/>
  <c r="F8" i="1"/>
  <c r="E8" i="1"/>
  <c r="D8" i="1"/>
  <c r="G7" i="1" a="1"/>
  <c r="G7" i="1" s="1"/>
  <c r="F7" i="1"/>
  <c r="E7" i="1"/>
  <c r="D7" i="1"/>
  <c r="G6" i="1" a="1"/>
  <c r="G6" i="1" s="1"/>
  <c r="F6" i="1"/>
  <c r="E6" i="1"/>
  <c r="D6" i="1"/>
  <c r="G5" i="1" a="1"/>
  <c r="G5" i="1" s="1"/>
  <c r="F5" i="1"/>
  <c r="E5" i="1"/>
  <c r="D5" i="1"/>
  <c r="G4" i="1" a="1"/>
  <c r="G4" i="1" s="1"/>
  <c r="F4" i="1"/>
  <c r="E4" i="1"/>
  <c r="D4" i="1"/>
  <c r="G3" i="1" a="1"/>
  <c r="G3" i="1" s="1"/>
  <c r="F3" i="1"/>
  <c r="E3" i="1"/>
  <c r="D3" i="1"/>
  <c r="G2" i="1" a="1"/>
  <c r="G2" i="1" s="1"/>
  <c r="F2" i="1"/>
  <c r="E2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<sst xmlns="http://schemas.openxmlformats.org/spreadsheetml/2006/main" count="56" uniqueCount="54">
  <si>
    <t>Seat No.</t>
  </si>
  <si>
    <t>CGPA</t>
  </si>
  <si>
    <t>Scores</t>
  </si>
  <si>
    <t>Grade 2</t>
  </si>
  <si>
    <t>Grades</t>
  </si>
  <si>
    <t xml:space="preserve">Class </t>
  </si>
  <si>
    <t>Class 2</t>
  </si>
  <si>
    <t>CS-97001</t>
  </si>
  <si>
    <t xml:space="preserve">Nested IF </t>
  </si>
  <si>
    <t>CS-97002</t>
  </si>
  <si>
    <t>IFS</t>
  </si>
  <si>
    <t>CS-97003</t>
  </si>
  <si>
    <t>CS-97004</t>
  </si>
  <si>
    <t>90-100</t>
  </si>
  <si>
    <t>A</t>
  </si>
  <si>
    <t>CS-97005</t>
  </si>
  <si>
    <t>80-89</t>
  </si>
  <si>
    <t>B</t>
  </si>
  <si>
    <t>CS-97006</t>
  </si>
  <si>
    <t>70-79</t>
  </si>
  <si>
    <t>C</t>
  </si>
  <si>
    <t>CS-97007</t>
  </si>
  <si>
    <t>60-69</t>
  </si>
  <si>
    <t>D</t>
  </si>
  <si>
    <t>CS-97008</t>
  </si>
  <si>
    <t>50-59</t>
  </si>
  <si>
    <t>E</t>
  </si>
  <si>
    <t>CS-97009</t>
  </si>
  <si>
    <t>&lt;50</t>
  </si>
  <si>
    <t>F</t>
  </si>
  <si>
    <t>CS-97010</t>
  </si>
  <si>
    <t>CS-97011</t>
  </si>
  <si>
    <t>CS-97012</t>
  </si>
  <si>
    <t>CS-97013</t>
  </si>
  <si>
    <t>CS-97014</t>
  </si>
  <si>
    <t>CS-97015</t>
  </si>
  <si>
    <t>CS-97016</t>
  </si>
  <si>
    <t>&gt;= 3.5</t>
  </si>
  <si>
    <t>First class</t>
  </si>
  <si>
    <t>CS-97017</t>
  </si>
  <si>
    <t>3 - 3.49</t>
  </si>
  <si>
    <t>2nd class upper</t>
  </si>
  <si>
    <t>CS-97018</t>
  </si>
  <si>
    <t>2.5-2.9</t>
  </si>
  <si>
    <t>2nd class lower</t>
  </si>
  <si>
    <t>CS-97019</t>
  </si>
  <si>
    <t>2.0-2.4</t>
  </si>
  <si>
    <t>3rd class</t>
  </si>
  <si>
    <t>CS-97020</t>
  </si>
  <si>
    <t>&lt;2</t>
  </si>
  <si>
    <t>Pass</t>
  </si>
  <si>
    <t>https://www.kaggle.com/datasets/ssshayan/grades-of-students</t>
  </si>
  <si>
    <t>Grades:</t>
  </si>
  <si>
    <t>Class: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</si>
</sst>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2" borderId="0" xfId="1" applyFill="1"/>
    <xf numFmtId="0" fontId="1" fillId="3" borderId="0" xfId="1" applyFill="1"/>
    <xf numFmtId="0" fontId="1" fillId="4" borderId="0" xfId="1" applyFill="1"/>
    <xf numFmtId="0" fontId="1" fillId="5" borderId="0" xfId="1" applyFill="1"/>
    <xf numFmtId="0" fontId="2" fillId="0" borderId="0" xfId="1" applyFont="1"/>
  </cellXfs>
  <cellStyles count="2">
    <cellStyle name="Normal" xfId="0" builtinId="0"/>
    <cellStyle name="Normal 2" xfId="1" xr:uid="{9B50C62F-C4BA-4E39-8113-2B1DAD9524C7}"/>
  </cellStyles>
  <dxfs count="4">
    <dxf>
      <numFmt numFmtId="0" formatCode="General"/>
      <fill>
        <patternFill patternType="solid">
          <fgColor indexed="64"/>
          <bgColor theme="9" tint="0.39997558519241921"/>
        </patternFill>
      </fill>
    </dxf>
    <dxf>
      <numFmt numFmtId="0" formatCode="General"/>
      <fill>
        <patternFill patternType="solid">
          <fgColor indexed="64"/>
          <bgColor theme="8" tint="0.39997558519241921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9E5D3-4A90-4A10-A2D4-AAF5AE811973}" name="Students_Result" displayName="Students_Result" ref="A1:G21" totalsRowShown="0">
  <autoFilter ref="A1:G21" xr:uid="{1C69EAF6-3F94-4633-A705-CAD23EE2BA4D}"/>
  <tableColumns count="7">
    <tableColumn id="1" xr3:uid="{0B79DDEA-5E07-4F34-B5F6-EA083DAFDAF5}" name="Seat No."/>
    <tableColumn id="2" xr3:uid="{7AFD55FF-C279-4AB5-BA3A-6B2A08390AF0}" name="CGPA"/>
    <tableColumn id="3" xr3:uid="{CC6F143E-1DA0-4465-83F9-6252ADC21302}" name="Scores"/>
    <tableColumn id="5" xr3:uid="{8F52AE08-BAF8-413A-82B8-A7769688D810}" name="Grade 2" dataDxfId="3">
      <calculatedColumnFormula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calculatedColumnFormula>
    </tableColumn>
    <tableColumn id="4" xr3:uid="{C250D8E9-91BB-442D-B55E-9271DD4F9AAF}" name="Grades" dataDxfId="2">
      <calculatedColumnFormula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calculatedColumnFormula>
    </tableColumn>
    <tableColumn id="6" xr3:uid="{67619706-DA80-42AF-A95B-50D4D1A6B552}" name="Class " dataDxfId="1" dataCellStyle="Normal 2">
      <calculatedColumnFormula>IF(Students_Result[[#This Row],[CGPA]]&gt;=3.5,"First Class",IF(Students_Result[[#This Row],[CGPA]]&gt;=3,"2nd Class Upper",IF(Students_Result[[#This Row],[CGPA]]&gt;=2.5,"2nd Class Lower",IF(Students_Result[[#This Row],[CGPA]]&gt;=2,"3rd Class","Pass"))))</calculatedColumnFormula>
    </tableColumn>
    <tableColumn id="7" xr3:uid="{C5B545C5-8379-49C1-A5D3-988D7B294C2E}" name="Class 2" dataDxfId="0" dataCellStyle="Normal 2">
      <calculatedColumnFormula array="1">_xlfn.IFS(Students_Result[[#This Row],[CGPA]]&gt;=3.5,"First Class",Students_Result[[#This Row],[CGPA]]&gt;=3,"2nd Class Upper",Students_Result[[#This Row],[CGPA]]&gt;=2.5,"2nd Class Lower",Students_Result[[#This Row],[CGPA]]&gt;=2,"3rd Class",TRUE,"Pass")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A1E3-FC89-4390-9EE0-6687CDE68BAB}">
  <dimension ref="A1:L24"/>
  <sheetViews>
    <sheetView tabSelected="1" topLeftCell="B1" zoomScale="120" zoomScaleNormal="120" workbookViewId="0">
      <selection activeCell="N19" sqref="N19"/>
    </sheetView>
  </sheetViews>
  <sheetFormatPr defaultRowHeight="14.4" x14ac:dyDescent="0.3"/>
  <cols>
    <col min="1" max="1" width="10" style="1" customWidth="1"/>
    <col min="2" max="3" width="8.88671875" style="1"/>
    <col min="4" max="4" width="12.44140625" style="1" customWidth="1"/>
    <col min="5" max="5" width="10.44140625" style="1" customWidth="1"/>
    <col min="6" max="6" width="14.44140625" style="1" customWidth="1"/>
    <col min="7" max="7" width="14.6640625" style="1" customWidth="1"/>
    <col min="8" max="8" width="10.44140625" style="1" customWidth="1"/>
    <col min="9" max="9" width="10.6640625" style="1" customWidth="1"/>
    <col min="10" max="10" width="14.21875" style="1" customWidth="1"/>
    <col min="11" max="11" width="12.21875" style="1" customWidth="1"/>
    <col min="12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3">
      <c r="A2" s="1" t="s">
        <v>7</v>
      </c>
      <c r="B2" s="1">
        <v>2.2050000000000001</v>
      </c>
      <c r="C2" s="1">
        <v>80</v>
      </c>
      <c r="D2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B</v>
      </c>
      <c r="E2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B</v>
      </c>
      <c r="F2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3rd Class</v>
      </c>
      <c r="G2" s="5" t="str" cm="1">
        <f t="array" ref="G2">_xlfn.IFS(Students_Result[[#This Row],[CGPA]]&gt;=3.5,"First Class",Students_Result[[#This Row],[CGPA]]&gt;=3,"2nd Class Upper",Students_Result[[#This Row],[CGPA]]&gt;=2.5,"2nd Class Lower",Students_Result[[#This Row],[CGPA]]&gt;=2,"3rd Class",TRUE,"Pass")</f>
        <v>3rd Class</v>
      </c>
      <c r="I2" s="3"/>
      <c r="J2" s="1" t="s">
        <v>8</v>
      </c>
    </row>
    <row r="3" spans="1:12" x14ac:dyDescent="0.3">
      <c r="A3" s="1" t="s">
        <v>9</v>
      </c>
      <c r="B3" s="1">
        <v>2.008</v>
      </c>
      <c r="C3" s="1">
        <v>75</v>
      </c>
      <c r="D3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C</v>
      </c>
      <c r="E3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C</v>
      </c>
      <c r="F3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3rd Class</v>
      </c>
      <c r="G3" s="5" t="str" cm="1">
        <f t="array" ref="G3">_xlfn.IFS(Students_Result[[#This Row],[CGPA]]&gt;=3.5,"First Class",Students_Result[[#This Row],[CGPA]]&gt;=3,"2nd Class Upper",Students_Result[[#This Row],[CGPA]]&gt;=2.5,"2nd Class Lower",Students_Result[[#This Row],[CGPA]]&gt;=2,"3rd Class",TRUE,"Pass")</f>
        <v>3rd Class</v>
      </c>
      <c r="I3" s="2"/>
      <c r="J3" s="1" t="s">
        <v>10</v>
      </c>
    </row>
    <row r="4" spans="1:12" x14ac:dyDescent="0.3">
      <c r="A4" s="1" t="s">
        <v>11</v>
      </c>
      <c r="B4" s="1">
        <v>3.6080000000000001</v>
      </c>
      <c r="C4" s="1">
        <v>50</v>
      </c>
      <c r="D4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E</v>
      </c>
      <c r="E4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E</v>
      </c>
      <c r="F4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First Class</v>
      </c>
      <c r="G4" s="5" t="str" cm="1">
        <f t="array" ref="G4">_xlfn.IFS(Students_Result[[#This Row],[CGPA]]&gt;=3.5,"First Class",Students_Result[[#This Row],[CGPA]]&gt;=3,"2nd Class Upper",Students_Result[[#This Row],[CGPA]]&gt;=2.5,"2nd Class Lower",Students_Result[[#This Row],[CGPA]]&gt;=2,"3rd Class",TRUE,"Pass")</f>
        <v>First Class</v>
      </c>
      <c r="K4" s="6" t="s">
        <v>52</v>
      </c>
    </row>
    <row r="5" spans="1:12" x14ac:dyDescent="0.3">
      <c r="A5" s="1" t="s">
        <v>12</v>
      </c>
      <c r="B5" s="1">
        <v>1.9059999999999999</v>
      </c>
      <c r="C5" s="1">
        <v>55</v>
      </c>
      <c r="D5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E</v>
      </c>
      <c r="E5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E</v>
      </c>
      <c r="F5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Pass</v>
      </c>
      <c r="G5" s="5" t="str" cm="1">
        <f t="array" ref="G5">_xlfn.IFS(Students_Result[[#This Row],[CGPA]]&gt;=3.5,"First Class",Students_Result[[#This Row],[CGPA]]&gt;=3,"2nd Class Upper",Students_Result[[#This Row],[CGPA]]&gt;=2.5,"2nd Class Lower",Students_Result[[#This Row],[CGPA]]&gt;=2,"3rd Class",TRUE,"Pass")</f>
        <v>Pass</v>
      </c>
      <c r="K5" s="1" t="s">
        <v>13</v>
      </c>
      <c r="L5" s="1" t="s">
        <v>14</v>
      </c>
    </row>
    <row r="6" spans="1:12" x14ac:dyDescent="0.3">
      <c r="A6" s="1" t="s">
        <v>15</v>
      </c>
      <c r="B6" s="1">
        <v>3.448</v>
      </c>
      <c r="C6" s="1">
        <v>63</v>
      </c>
      <c r="D6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D</v>
      </c>
      <c r="E6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D</v>
      </c>
      <c r="F6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Upper</v>
      </c>
      <c r="G6" s="5" t="str" cm="1">
        <f t="array" ref="G6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Upper</v>
      </c>
      <c r="K6" s="1" t="s">
        <v>16</v>
      </c>
      <c r="L6" s="1" t="s">
        <v>17</v>
      </c>
    </row>
    <row r="7" spans="1:12" x14ac:dyDescent="0.3">
      <c r="A7" s="1" t="s">
        <v>18</v>
      </c>
      <c r="B7" s="1">
        <v>3.0259999999999998</v>
      </c>
      <c r="D7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No score</v>
      </c>
      <c r="E7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No Score</v>
      </c>
      <c r="F7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Upper</v>
      </c>
      <c r="G7" s="5" t="str" cm="1">
        <f t="array" ref="G7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Upper</v>
      </c>
      <c r="K7" s="1" t="s">
        <v>19</v>
      </c>
      <c r="L7" s="1" t="s">
        <v>20</v>
      </c>
    </row>
    <row r="8" spans="1:12" x14ac:dyDescent="0.3">
      <c r="A8" s="1" t="s">
        <v>21</v>
      </c>
      <c r="B8" s="1">
        <v>2.9569999999999999</v>
      </c>
      <c r="C8" s="1">
        <v>93</v>
      </c>
      <c r="D8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A</v>
      </c>
      <c r="E8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A</v>
      </c>
      <c r="F8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Lower</v>
      </c>
      <c r="G8" s="5" t="str" cm="1">
        <f t="array" ref="G8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Lower</v>
      </c>
      <c r="K8" s="1" t="s">
        <v>22</v>
      </c>
      <c r="L8" s="1" t="s">
        <v>23</v>
      </c>
    </row>
    <row r="9" spans="1:12" x14ac:dyDescent="0.3">
      <c r="A9" s="1" t="s">
        <v>24</v>
      </c>
      <c r="B9" s="1">
        <v>3.0430000000000001</v>
      </c>
      <c r="C9" s="1">
        <v>95</v>
      </c>
      <c r="D9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A</v>
      </c>
      <c r="E9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A</v>
      </c>
      <c r="F9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Upper</v>
      </c>
      <c r="G9" s="5" t="str" cm="1">
        <f t="array" ref="G9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Upper</v>
      </c>
      <c r="K9" s="1" t="s">
        <v>25</v>
      </c>
      <c r="L9" s="1" t="s">
        <v>26</v>
      </c>
    </row>
    <row r="10" spans="1:12" x14ac:dyDescent="0.3">
      <c r="A10" s="1" t="s">
        <v>27</v>
      </c>
      <c r="B10" s="1">
        <v>3.3580000000000001</v>
      </c>
      <c r="C10" s="1">
        <v>25</v>
      </c>
      <c r="D10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F</v>
      </c>
      <c r="E10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F</v>
      </c>
      <c r="F10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Upper</v>
      </c>
      <c r="G10" s="5" t="str" cm="1">
        <f t="array" ref="G10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Upper</v>
      </c>
      <c r="K10" s="1" t="s">
        <v>28</v>
      </c>
      <c r="L10" s="1" t="s">
        <v>29</v>
      </c>
    </row>
    <row r="11" spans="1:12" x14ac:dyDescent="0.3">
      <c r="A11" s="1" t="s">
        <v>30</v>
      </c>
      <c r="B11" s="1">
        <v>3.2469999999999999</v>
      </c>
      <c r="C11" s="1">
        <v>70</v>
      </c>
      <c r="D11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C</v>
      </c>
      <c r="E11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C</v>
      </c>
      <c r="F11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Upper</v>
      </c>
      <c r="G11" s="5" t="str" cm="1">
        <f t="array" ref="G11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Upper</v>
      </c>
    </row>
    <row r="12" spans="1:12" x14ac:dyDescent="0.3">
      <c r="A12" s="1" t="s">
        <v>31</v>
      </c>
      <c r="B12" s="1">
        <v>2.681</v>
      </c>
      <c r="C12" s="1">
        <v>67</v>
      </c>
      <c r="D12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D</v>
      </c>
      <c r="E12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D</v>
      </c>
      <c r="F12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Lower</v>
      </c>
      <c r="G12" s="5" t="str" cm="1">
        <f t="array" ref="G12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Lower</v>
      </c>
    </row>
    <row r="13" spans="1:12" x14ac:dyDescent="0.3">
      <c r="A13" s="1" t="s">
        <v>32</v>
      </c>
      <c r="B13" s="1">
        <v>3.2810000000000001</v>
      </c>
      <c r="C13" s="1">
        <v>66</v>
      </c>
      <c r="D13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D</v>
      </c>
      <c r="E13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D</v>
      </c>
      <c r="F13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Upper</v>
      </c>
      <c r="G13" s="5" t="str" cm="1">
        <f t="array" ref="G13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Upper</v>
      </c>
    </row>
    <row r="14" spans="1:12" x14ac:dyDescent="0.3">
      <c r="A14" s="1" t="s">
        <v>33</v>
      </c>
      <c r="B14" s="1">
        <v>2.7919999999999998</v>
      </c>
      <c r="C14" s="1">
        <v>55</v>
      </c>
      <c r="D14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E</v>
      </c>
      <c r="E14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E</v>
      </c>
      <c r="F14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Lower</v>
      </c>
      <c r="G14" s="5" t="str" cm="1">
        <f t="array" ref="G14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Lower</v>
      </c>
      <c r="I14" s="4"/>
      <c r="J14" s="1" t="s">
        <v>8</v>
      </c>
    </row>
    <row r="15" spans="1:12" x14ac:dyDescent="0.3">
      <c r="A15" s="1" t="s">
        <v>34</v>
      </c>
      <c r="B15" s="1">
        <v>3.5230000000000001</v>
      </c>
      <c r="C15" s="1">
        <v>45</v>
      </c>
      <c r="D15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F</v>
      </c>
      <c r="E15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F</v>
      </c>
      <c r="F15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First Class</v>
      </c>
      <c r="G15" s="5" t="str" cm="1">
        <f t="array" ref="G15">_xlfn.IFS(Students_Result[[#This Row],[CGPA]]&gt;=3.5,"First Class",Students_Result[[#This Row],[CGPA]]&gt;=3,"2nd Class Upper",Students_Result[[#This Row],[CGPA]]&gt;=2.5,"2nd Class Lower",Students_Result[[#This Row],[CGPA]]&gt;=2,"3rd Class",TRUE,"Pass")</f>
        <v>First Class</v>
      </c>
      <c r="I15" s="5"/>
      <c r="J15" s="1" t="s">
        <v>10</v>
      </c>
    </row>
    <row r="16" spans="1:12" x14ac:dyDescent="0.3">
      <c r="A16" s="1" t="s">
        <v>35</v>
      </c>
      <c r="B16" s="1">
        <v>3.4430000000000001</v>
      </c>
      <c r="D16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No score</v>
      </c>
      <c r="E16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No Score</v>
      </c>
      <c r="F16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Upper</v>
      </c>
      <c r="G16" s="5" t="str" cm="1">
        <f t="array" ref="G16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Upper</v>
      </c>
      <c r="K16" s="6" t="s">
        <v>53</v>
      </c>
    </row>
    <row r="17" spans="1:12" x14ac:dyDescent="0.3">
      <c r="A17" s="1" t="s">
        <v>36</v>
      </c>
      <c r="B17" s="1">
        <v>2.7770000000000001</v>
      </c>
      <c r="C17" s="1">
        <v>90</v>
      </c>
      <c r="D17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A</v>
      </c>
      <c r="E17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A</v>
      </c>
      <c r="F17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Lower</v>
      </c>
      <c r="G17" s="5" t="str" cm="1">
        <f t="array" ref="G17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Lower</v>
      </c>
      <c r="K17" s="1" t="s">
        <v>37</v>
      </c>
      <c r="L17" s="1" t="s">
        <v>38</v>
      </c>
    </row>
    <row r="18" spans="1:12" x14ac:dyDescent="0.3">
      <c r="A18" s="1" t="s">
        <v>39</v>
      </c>
      <c r="B18" s="1">
        <v>3.2480000000000002</v>
      </c>
      <c r="C18" s="1">
        <v>30</v>
      </c>
      <c r="D18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F</v>
      </c>
      <c r="E18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F</v>
      </c>
      <c r="F18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Upper</v>
      </c>
      <c r="G18" s="5" t="str" cm="1">
        <f t="array" ref="G18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Upper</v>
      </c>
      <c r="K18" s="1" t="s">
        <v>40</v>
      </c>
      <c r="L18" s="1" t="s">
        <v>41</v>
      </c>
    </row>
    <row r="19" spans="1:12" x14ac:dyDescent="0.3">
      <c r="A19" s="1" t="s">
        <v>42</v>
      </c>
      <c r="B19" s="1">
        <v>1.7869999999999999</v>
      </c>
      <c r="C19" s="1">
        <v>65</v>
      </c>
      <c r="D19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D</v>
      </c>
      <c r="E19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D</v>
      </c>
      <c r="F19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Pass</v>
      </c>
      <c r="G19" s="5" t="str" cm="1">
        <f t="array" ref="G19">_xlfn.IFS(Students_Result[[#This Row],[CGPA]]&gt;=3.5,"First Class",Students_Result[[#This Row],[CGPA]]&gt;=3,"2nd Class Upper",Students_Result[[#This Row],[CGPA]]&gt;=2.5,"2nd Class Lower",Students_Result[[#This Row],[CGPA]]&gt;=2,"3rd Class",TRUE,"Pass")</f>
        <v>Pass</v>
      </c>
      <c r="K19" s="1" t="s">
        <v>43</v>
      </c>
      <c r="L19" s="1" t="s">
        <v>44</v>
      </c>
    </row>
    <row r="20" spans="1:12" x14ac:dyDescent="0.3">
      <c r="A20" s="1" t="s">
        <v>45</v>
      </c>
      <c r="B20" s="1">
        <v>3.5720000000000001</v>
      </c>
      <c r="C20" s="1">
        <v>85</v>
      </c>
      <c r="D20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B</v>
      </c>
      <c r="E20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B</v>
      </c>
      <c r="F20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First Class</v>
      </c>
      <c r="G20" s="5" t="str" cm="1">
        <f t="array" ref="G20">_xlfn.IFS(Students_Result[[#This Row],[CGPA]]&gt;=3.5,"First Class",Students_Result[[#This Row],[CGPA]]&gt;=3,"2nd Class Upper",Students_Result[[#This Row],[CGPA]]&gt;=2.5,"2nd Class Lower",Students_Result[[#This Row],[CGPA]]&gt;=2,"3rd Class",TRUE,"Pass")</f>
        <v>First Class</v>
      </c>
      <c r="K20" s="1" t="s">
        <v>46</v>
      </c>
      <c r="L20" s="1" t="s">
        <v>47</v>
      </c>
    </row>
    <row r="21" spans="1:12" x14ac:dyDescent="0.3">
      <c r="A21" s="1" t="s">
        <v>48</v>
      </c>
      <c r="B21" s="1">
        <v>3.4830000000000001</v>
      </c>
      <c r="D21" s="2" t="str">
        <f>_xlfn.IFS(Students_Result[[#This Row],[Scores]]=0,"No score",Students_Result[[#This Row],[Scores]]&gt;=90,"A",Students_Result[[#This Row],[Scores]]&gt;=80,"B",Students_Result[[#This Row],[Scores]]&gt;=70,"C",Students_Result[[#This Row],[Scores]]&gt;=60,"D",Students_Result[[#This Row],[Scores]]&gt;=50,"E",TRUE,"F")</f>
        <v>No score</v>
      </c>
      <c r="E21" s="3" t="str">
        <f>IF(OR(Students_Result[[#This Row],[Scores]]=0,ISNA(Students_Result[[#This Row],[Scores]])),"No Score",IF(Students_Result[[#This Row],[Scores]]&gt;=90,"A",IF(Students_Result[[#This Row],[Scores]]&gt;=80,"B",IF(Students_Result[[#This Row],[Scores]]&gt;=70,"C",IF(Students_Result[[#This Row],[Scores]]&gt;=60,"D",IF(Students_Result[[#This Row],[Scores]]&gt;=50,"E","F"))))))</f>
        <v>No Score</v>
      </c>
      <c r="F21" s="4" t="str">
        <f>IF(Students_Result[[#This Row],[CGPA]]&gt;=3.5,"First Class",IF(Students_Result[[#This Row],[CGPA]]&gt;=3,"2nd Class Upper",IF(Students_Result[[#This Row],[CGPA]]&gt;=2.5,"2nd Class Lower",IF(Students_Result[[#This Row],[CGPA]]&gt;=2,"3rd Class","Pass"))))</f>
        <v>2nd Class Upper</v>
      </c>
      <c r="G21" s="5" t="str" cm="1">
        <f t="array" ref="G21">_xlfn.IFS(Students_Result[[#This Row],[CGPA]]&gt;=3.5,"First Class",Students_Result[[#This Row],[CGPA]]&gt;=3,"2nd Class Upper",Students_Result[[#This Row],[CGPA]]&gt;=2.5,"2nd Class Lower",Students_Result[[#This Row],[CGPA]]&gt;=2,"3rd Class",TRUE,"Pass")</f>
        <v>2nd Class Upper</v>
      </c>
      <c r="K21" s="1" t="s">
        <v>49</v>
      </c>
      <c r="L21" s="1" t="s">
        <v>50</v>
      </c>
    </row>
    <row r="24" spans="1:12" x14ac:dyDescent="0.3">
      <c r="A24" s="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Nnamah</dc:creator>
  <cp:lastModifiedBy>Daniel Nnamah</cp:lastModifiedBy>
  <dcterms:created xsi:type="dcterms:W3CDTF">2025-12-13T17:38:07Z</dcterms:created>
  <dcterms:modified xsi:type="dcterms:W3CDTF">2025-12-13T18:55:50Z</dcterms:modified>
</cp:coreProperties>
</file>